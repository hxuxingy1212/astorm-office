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经营看板" sheetId="1" r:id="rId1"/>
  </sheets>
  <calcPr calcId="0" fullCalcOnLoad="1"/>
</workbook>
</file>

<file path=xl/sharedStrings.xml><?xml version="1.0" encoding="utf-8"?>
<sst xmlns="http://schemas.openxmlformats.org/spreadsheetml/2006/main" count="19" uniqueCount="19">
  <si>
    <t xml:space="preserve">2026 年度经营复盘（单位：万元）</t>
  </si>
  <si>
    <t xml:space="preserve">月份</t>
  </si>
  <si>
    <t xml:space="preserve">收入</t>
  </si>
  <si>
    <t xml:space="preserve">增长率</t>
  </si>
  <si>
    <t xml:space="preserve">净利润</t>
  </si>
  <si>
    <t xml:space="preserve">1 月</t>
  </si>
  <si>
    <t xml:space="preserve">+8.2%</t>
  </si>
  <si>
    <t xml:space="preserve">2 月</t>
  </si>
  <si>
    <t xml:space="preserve">+12.1%</t>
  </si>
  <si>
    <t xml:space="preserve">3 月</t>
  </si>
  <si>
    <t xml:space="preserve">-8.6%</t>
  </si>
  <si>
    <t xml:space="preserve">4 月</t>
  </si>
  <si>
    <t xml:space="preserve">+28.6%</t>
  </si>
  <si>
    <t xml:space="preserve">5 月</t>
  </si>
  <si>
    <t xml:space="preserve">+8.1%</t>
  </si>
  <si>
    <t xml:space="preserve">6 月</t>
  </si>
  <si>
    <t xml:space="preserve">-4.3%</t>
  </si>
  <si>
    <t xml:space="preserve">合计</t>
  </si>
  <si>
    <t xml:space="preserve">净利率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</si>
</sst>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2" topLeftCell="A3" activePane="bottomRight" state="frozen"/>
    </sheetView>
  </sheetViews>
  <cols>
    <col min="1" max="1" width="10" customWidth="1"/>
    <col min="2" max="2" width="14" customWidth="1"/>
    <col min="3" max="3" width="11" customWidth="1"/>
    <col min="4" max="4" width="14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s="1">
        <v>128.0</v>
      </c>
      <c r="C3" t="s">
        <v>6</v>
      </c>
      <c r="D3" s="1">
        <v>23.6</v>
      </c>
    </row>
    <row r="4">
      <c r="A4" t="s">
        <v>7</v>
      </c>
      <c r="B4" s="1">
        <v>143.5</v>
      </c>
      <c r="C4" t="s">
        <v>8</v>
      </c>
      <c r="D4" s="1">
        <v>28.8</v>
      </c>
    </row>
    <row r="5">
      <c r="A5" t="s">
        <v>9</v>
      </c>
      <c r="B5" s="1">
        <v>131.2</v>
      </c>
      <c r="C5" t="s">
        <v>10</v>
      </c>
      <c r="D5" s="1">
        <v>20.5</v>
      </c>
    </row>
    <row r="6">
      <c r="A6" t="s">
        <v>11</v>
      </c>
      <c r="B6" s="1">
        <v>168.7</v>
      </c>
      <c r="C6" t="s">
        <v>12</v>
      </c>
      <c r="D6" s="1">
        <v>40.2</v>
      </c>
    </row>
    <row r="7">
      <c r="A7" t="s">
        <v>13</v>
      </c>
      <c r="B7" s="1">
        <v>182.4</v>
      </c>
      <c r="C7" t="s">
        <v>14</v>
      </c>
      <c r="D7" s="1">
        <v>45.5</v>
      </c>
    </row>
    <row r="8">
      <c r="A8" t="s">
        <v>15</v>
      </c>
      <c r="B8" s="1">
        <v>174.5</v>
      </c>
      <c r="C8" t="s">
        <v>16</v>
      </c>
      <c r="D8" s="1">
        <v>41.8</v>
      </c>
    </row>
    <row r="9">
      <c r="A9" t="s">
        <v>17</v>
      </c>
      <c r="B9" s="1">
        <f>SUM(B3:B8)</f>
        <v>928.3</v>
      </c>
      <c r="D9" s="1">
        <f>SUM(D3:D8)</f>
        <v>200.40000000000003</v>
      </c>
    </row>
    <row r="10">
      <c r="A10" t="s">
        <v>18</v>
      </c>
      <c r="D10" s="2">
        <f>D9/B9</f>
        <v>0.2158784875579016</v>
      </c>
    </row>
  </sheetData>
  <autoFilter ref="A2:D8"/>
  <mergeCells count="1">
    <mergeCell ref="A1:D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